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richard/Developer/neural-network-exercise/"/>
    </mc:Choice>
  </mc:AlternateContent>
  <xr:revisionPtr revIDLastSave="0" documentId="13_ncr:1_{87F2701B-A05C-5A46-8089-BB94B90A4592}" xr6:coauthVersionLast="47" xr6:coauthVersionMax="47" xr10:uidLastSave="{00000000-0000-0000-0000-000000000000}"/>
  <bookViews>
    <workbookView xWindow="-9340" yWindow="-25100" windowWidth="46220" windowHeight="20960" xr2:uid="{101080B9-EDC3-EF4D-8365-3CCED41F6B25}"/>
  </bookViews>
  <sheets>
    <sheet name="Lösu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1" i="2"/>
  <c r="D20" i="2"/>
  <c r="D19" i="2"/>
  <c r="D18" i="2"/>
  <c r="D17" i="2"/>
  <c r="D14" i="2"/>
  <c r="D13" i="2"/>
  <c r="D12" i="2"/>
  <c r="D16" i="2"/>
  <c r="D15" i="2"/>
  <c r="D11" i="2"/>
  <c r="D8" i="2"/>
  <c r="D7" i="2"/>
  <c r="D6" i="2"/>
  <c r="D5" i="2"/>
  <c r="D9" i="2" l="1"/>
  <c r="D10" i="2" s="1"/>
  <c r="E12" i="2" l="1"/>
  <c r="E14" i="2"/>
  <c r="E13" i="2"/>
  <c r="E19" i="2" l="1"/>
  <c r="E17" i="2"/>
  <c r="E18" i="2"/>
  <c r="E22" i="2"/>
  <c r="E21" i="2"/>
  <c r="E20" i="2"/>
</calcChain>
</file>

<file path=xl/sharedStrings.xml><?xml version="1.0" encoding="utf-8"?>
<sst xmlns="http://schemas.openxmlformats.org/spreadsheetml/2006/main" count="82" uniqueCount="39">
  <si>
    <t>Input:</t>
  </si>
  <si>
    <t>Output:</t>
  </si>
  <si>
    <t>Eta:</t>
  </si>
  <si>
    <t>W^(1):</t>
  </si>
  <si>
    <t>W^(2):</t>
  </si>
  <si>
    <t>Layer (1)</t>
  </si>
  <si>
    <t>z_1</t>
  </si>
  <si>
    <t>z_2</t>
  </si>
  <si>
    <t>a_1</t>
  </si>
  <si>
    <t>a_2</t>
  </si>
  <si>
    <t>Layer (2)</t>
  </si>
  <si>
    <t>z_0</t>
  </si>
  <si>
    <t>a_0</t>
  </si>
  <si>
    <t>δ_0</t>
  </si>
  <si>
    <t>Δw_0,0</t>
  </si>
  <si>
    <t>Δw_0,1</t>
  </si>
  <si>
    <t>Δw_0,2</t>
  </si>
  <si>
    <t>δ_1</t>
  </si>
  <si>
    <t>δ_2</t>
  </si>
  <si>
    <t>Δw_1,0</t>
  </si>
  <si>
    <t>Δw_1,1</t>
  </si>
  <si>
    <t>Δw_1,2</t>
  </si>
  <si>
    <t>Δw_2,0</t>
  </si>
  <si>
    <t>Δw_2,1</t>
  </si>
  <si>
    <t>Δw_2,2</t>
  </si>
  <si>
    <t>Feedforward</t>
  </si>
  <si>
    <t>Backpropagation</t>
  </si>
  <si>
    <t>w_1,0</t>
  </si>
  <si>
    <t>w_1,1</t>
  </si>
  <si>
    <t>w_1,2</t>
  </si>
  <si>
    <t>w_2,0</t>
  </si>
  <si>
    <t>w_2,1</t>
  </si>
  <si>
    <t>w_2,2</t>
  </si>
  <si>
    <t>w_0,0</t>
  </si>
  <si>
    <t>w_0,1</t>
  </si>
  <si>
    <t>w_0,2</t>
  </si>
  <si>
    <t>New weights</t>
  </si>
  <si>
    <t>RELU(x) = MAX(x; 0)</t>
  </si>
  <si>
    <t>RELU'(x) = IF(x&gt;0; 1;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</si>
</sst>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3"/>
      <color theme="1"/>
      <name val="Aptos Narrow"/>
      <scheme val="minor"/>
    </font>
    <font>
      <b/>
      <sz val="13"/>
      <color theme="1"/>
      <name val="Aptos Narrow"/>
      <scheme val="minor"/>
    </font>
    <font>
      <b/>
      <sz val="13"/>
      <color rgb="FFFF00C2"/>
      <name val="Aptos Narrow"/>
      <scheme val="minor"/>
    </font>
    <font>
      <sz val="13"/>
      <color rgb="FF000000"/>
      <name val="Aptos Narrow"/>
      <scheme val="minor"/>
    </font>
    <font>
      <sz val="13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FF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AF2F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6" borderId="0" xfId="0" applyFont="1" applyFill="1"/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6" borderId="0" xfId="0" applyFont="1" applyFill="1" applyAlignment="1">
      <alignment horizontal="right"/>
    </xf>
    <xf numFmtId="0" fontId="1" fillId="6" borderId="1" xfId="0" applyFont="1" applyFill="1" applyBorder="1" applyAlignment="1">
      <alignment horizontal="right"/>
    </xf>
    <xf numFmtId="0" fontId="4" fillId="6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2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1" fillId="6" borderId="0" xfId="0" applyFont="1" applyFill="1" applyAlignment="1">
      <alignment horizontal="left"/>
    </xf>
    <xf numFmtId="0" fontId="2" fillId="7" borderId="0" xfId="0" applyFont="1" applyFill="1" applyAlignment="1">
      <alignment horizontal="center" vertical="center" textRotation="90"/>
    </xf>
    <xf numFmtId="0" fontId="2" fillId="7" borderId="1" xfId="0" applyFont="1" applyFill="1" applyBorder="1" applyAlignment="1">
      <alignment horizontal="center" vertical="center" textRotation="90"/>
    </xf>
    <xf numFmtId="0" fontId="2" fillId="8" borderId="0" xfId="0" applyFont="1" applyFill="1" applyAlignment="1">
      <alignment horizontal="center" vertical="center" textRotation="90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C2"/>
      <color rgb="FFE5FFDD"/>
      <color rgb="FFF5FFF0"/>
      <color rgb="FFFAF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37F8-B23E-8147-AD40-3A23BD677763}">
  <sheetPr codeName="Sheet1"/>
  <dimension ref="A1:S22"/>
  <sheetViews>
    <sheetView tabSelected="1" zoomScale="110" zoomScaleNormal="110" workbookViewId="0">
      <selection activeCell="O15" sqref="O15"/>
    </sheetView>
  </sheetViews>
  <sheetFormatPr baseColWidth="10" defaultRowHeight="18" x14ac:dyDescent="0.25"/>
  <cols>
    <col min="1" max="1" width="6" style="1" customWidth="1"/>
    <col min="2" max="2" width="11.6640625" style="1" customWidth="1"/>
    <col min="3" max="3" width="8.6640625" style="9" customWidth="1"/>
    <col min="4" max="4" width="7.83203125" style="1" customWidth="1"/>
    <col min="5" max="5" width="11.6640625" style="1" customWidth="1"/>
    <col min="6" max="6" width="8.6640625" style="1" customWidth="1"/>
    <col min="7" max="7" width="7.83203125" style="1" customWidth="1"/>
    <col min="8" max="8" width="11.6640625" style="1" customWidth="1"/>
    <col min="9" max="9" width="8.6640625" style="1" customWidth="1"/>
    <col min="10" max="10" width="7.83203125" style="1" customWidth="1"/>
    <col min="11" max="11" width="11.6640625" style="1" customWidth="1"/>
    <col min="12" max="12" width="5" style="1" customWidth="1"/>
    <col min="13" max="13" width="10.83203125" style="1"/>
    <col min="14" max="14" width="7.83203125" style="23" customWidth="1"/>
    <col min="15" max="15" width="10.83203125" style="1"/>
    <col min="16" max="16" width="7.83203125" style="23" customWidth="1"/>
    <col min="17" max="17" width="10.83203125" style="1"/>
    <col min="18" max="18" width="7.83203125" style="23" customWidth="1"/>
    <col min="19" max="16384" width="10.83203125" style="1"/>
  </cols>
  <sheetData>
    <row r="1" spans="1:19" ht="19" thickBot="1" x14ac:dyDescent="0.3"/>
    <row r="2" spans="1:19" ht="19" thickBot="1" x14ac:dyDescent="0.3">
      <c r="B2" s="2" t="s">
        <v>0</v>
      </c>
      <c r="C2" s="3">
        <v>0</v>
      </c>
      <c r="E2" s="2" t="s">
        <v>1</v>
      </c>
      <c r="F2" s="3">
        <v>1</v>
      </c>
      <c r="H2" s="2" t="s">
        <v>2</v>
      </c>
      <c r="I2" s="3">
        <v>0.1</v>
      </c>
      <c r="M2" s="34" t="s">
        <v>37</v>
      </c>
      <c r="N2" s="35"/>
      <c r="O2" s="36"/>
      <c r="Q2" s="34" t="s">
        <v>38</v>
      </c>
      <c r="R2" s="35"/>
      <c r="S2" s="36"/>
    </row>
    <row r="3" spans="1:19" x14ac:dyDescent="0.25">
      <c r="C3" s="3">
        <v>1</v>
      </c>
    </row>
    <row r="5" spans="1:19" ht="16" customHeight="1" x14ac:dyDescent="0.25">
      <c r="A5" s="31" t="s">
        <v>25</v>
      </c>
      <c r="B5" s="38" t="s">
        <v>5</v>
      </c>
      <c r="C5" s="10" t="s">
        <v>6</v>
      </c>
      <c r="D5" s="17">
        <f>1*O5+C2*Q5+C3*S5</f>
        <v>0.6</v>
      </c>
      <c r="E5" s="5"/>
      <c r="F5" s="10" t="s">
        <v>6</v>
      </c>
      <c r="G5" s="17"/>
      <c r="H5" s="5"/>
      <c r="I5" s="10" t="s">
        <v>6</v>
      </c>
      <c r="J5" s="17"/>
      <c r="K5" s="5"/>
      <c r="M5" s="37" t="s">
        <v>3</v>
      </c>
      <c r="N5" s="23" t="s">
        <v>27</v>
      </c>
      <c r="O5" s="4">
        <v>0.5</v>
      </c>
      <c r="P5" s="24" t="s">
        <v>28</v>
      </c>
      <c r="Q5" s="3">
        <v>-0.3</v>
      </c>
      <c r="R5" s="24" t="s">
        <v>29</v>
      </c>
      <c r="S5" s="3">
        <v>0.1</v>
      </c>
    </row>
    <row r="6" spans="1:19" x14ac:dyDescent="0.25">
      <c r="A6" s="31"/>
      <c r="B6" s="38"/>
      <c r="C6" s="10" t="s">
        <v>7</v>
      </c>
      <c r="D6" s="17">
        <f>1*O6+C2*Q6+C3*S6</f>
        <v>0.49999999999999994</v>
      </c>
      <c r="E6" s="5"/>
      <c r="F6" s="10" t="s">
        <v>7</v>
      </c>
      <c r="G6" s="17"/>
      <c r="H6" s="5"/>
      <c r="I6" s="10" t="s">
        <v>7</v>
      </c>
      <c r="J6" s="17"/>
      <c r="K6" s="5"/>
      <c r="M6" s="37"/>
      <c r="N6" s="23" t="s">
        <v>30</v>
      </c>
      <c r="O6" s="4">
        <v>-0.2</v>
      </c>
      <c r="P6" s="24" t="s">
        <v>31</v>
      </c>
      <c r="Q6" s="3">
        <v>-0.4</v>
      </c>
      <c r="R6" s="24" t="s">
        <v>32</v>
      </c>
      <c r="S6" s="3">
        <v>0.7</v>
      </c>
    </row>
    <row r="7" spans="1:19" x14ac:dyDescent="0.25">
      <c r="A7" s="31"/>
      <c r="B7" s="38"/>
      <c r="C7" s="10" t="s">
        <v>8</v>
      </c>
      <c r="D7" s="17">
        <f>MAX(D5,0)</f>
        <v>0.6</v>
      </c>
      <c r="E7" s="5"/>
      <c r="F7" s="10" t="s">
        <v>8</v>
      </c>
      <c r="G7" s="17"/>
      <c r="H7" s="5"/>
      <c r="I7" s="10" t="s">
        <v>8</v>
      </c>
      <c r="J7" s="17"/>
      <c r="K7" s="5"/>
    </row>
    <row r="8" spans="1:19" ht="19" thickBot="1" x14ac:dyDescent="0.3">
      <c r="A8" s="31"/>
      <c r="B8" s="39"/>
      <c r="C8" s="11" t="s">
        <v>9</v>
      </c>
      <c r="D8" s="18">
        <f>MAX(D6,0)</f>
        <v>0.49999999999999994</v>
      </c>
      <c r="E8" s="6"/>
      <c r="F8" s="11" t="s">
        <v>9</v>
      </c>
      <c r="G8" s="18"/>
      <c r="H8" s="6"/>
      <c r="I8" s="11" t="s">
        <v>9</v>
      </c>
      <c r="J8" s="18"/>
      <c r="K8" s="6"/>
      <c r="M8" s="2" t="s">
        <v>4</v>
      </c>
      <c r="N8" s="23" t="s">
        <v>33</v>
      </c>
      <c r="O8" s="4">
        <v>-0.6</v>
      </c>
      <c r="P8" s="24" t="s">
        <v>34</v>
      </c>
      <c r="Q8" s="3">
        <v>0.4</v>
      </c>
      <c r="R8" s="24" t="s">
        <v>35</v>
      </c>
      <c r="S8" s="3">
        <v>0.8</v>
      </c>
    </row>
    <row r="9" spans="1:19" x14ac:dyDescent="0.25">
      <c r="A9" s="31"/>
      <c r="B9" s="40" t="s">
        <v>10</v>
      </c>
      <c r="C9" s="12" t="s">
        <v>11</v>
      </c>
      <c r="D9" s="19">
        <f>1*O8+D7*Q8+D8*S8</f>
        <v>3.999999999999998E-2</v>
      </c>
      <c r="E9" s="7"/>
      <c r="F9" s="12" t="s">
        <v>11</v>
      </c>
      <c r="G9" s="19"/>
      <c r="H9" s="7"/>
      <c r="I9" s="12" t="s">
        <v>11</v>
      </c>
      <c r="J9" s="19"/>
      <c r="K9" s="7"/>
    </row>
    <row r="10" spans="1:19" ht="19" thickBot="1" x14ac:dyDescent="0.3">
      <c r="A10" s="32"/>
      <c r="B10" s="39"/>
      <c r="C10" s="11" t="s">
        <v>12</v>
      </c>
      <c r="D10" s="28">
        <f>MAX(D9,0)</f>
        <v>3.999999999999998E-2</v>
      </c>
      <c r="E10" s="6"/>
      <c r="F10" s="11" t="s">
        <v>12</v>
      </c>
      <c r="G10" s="28"/>
      <c r="H10" s="6"/>
      <c r="I10" s="11" t="s">
        <v>12</v>
      </c>
      <c r="J10" s="28"/>
      <c r="K10" s="6"/>
    </row>
    <row r="11" spans="1:19" x14ac:dyDescent="0.25">
      <c r="A11" s="33" t="s">
        <v>26</v>
      </c>
      <c r="B11" s="41" t="s">
        <v>10</v>
      </c>
      <c r="C11" s="13" t="s">
        <v>13</v>
      </c>
      <c r="D11" s="20">
        <f>2*(D10-F2)*IF(D9&gt;0,1,0)</f>
        <v>-1.92</v>
      </c>
      <c r="E11" s="29" t="s">
        <v>36</v>
      </c>
      <c r="F11" s="13" t="s">
        <v>13</v>
      </c>
      <c r="G11" s="20"/>
      <c r="H11" s="29" t="s">
        <v>36</v>
      </c>
      <c r="I11" s="13" t="s">
        <v>13</v>
      </c>
      <c r="J11" s="20"/>
      <c r="K11" s="29" t="s">
        <v>36</v>
      </c>
    </row>
    <row r="12" spans="1:19" x14ac:dyDescent="0.25">
      <c r="A12" s="33"/>
      <c r="B12" s="42"/>
      <c r="C12" s="14" t="s">
        <v>14</v>
      </c>
      <c r="D12" s="21">
        <f>-I2*D11*1</f>
        <v>0.192</v>
      </c>
      <c r="E12" s="27">
        <f>O8+D12</f>
        <v>-0.40799999999999997</v>
      </c>
      <c r="F12" s="14" t="s">
        <v>14</v>
      </c>
      <c r="G12" s="21"/>
      <c r="H12" s="27"/>
      <c r="I12" s="14" t="s">
        <v>14</v>
      </c>
      <c r="J12" s="21"/>
      <c r="K12" s="27"/>
    </row>
    <row r="13" spans="1:19" x14ac:dyDescent="0.25">
      <c r="A13" s="33"/>
      <c r="B13" s="42"/>
      <c r="C13" s="14" t="s">
        <v>15</v>
      </c>
      <c r="D13" s="21">
        <f>-I2*D11*D7</f>
        <v>0.1152</v>
      </c>
      <c r="E13" s="25">
        <f>Q8+D13</f>
        <v>0.51519999999999999</v>
      </c>
      <c r="F13" s="14" t="s">
        <v>15</v>
      </c>
      <c r="G13" s="21"/>
      <c r="H13" s="25"/>
      <c r="I13" s="14" t="s">
        <v>15</v>
      </c>
      <c r="J13" s="21"/>
      <c r="K13" s="25"/>
    </row>
    <row r="14" spans="1:19" ht="19" thickBot="1" x14ac:dyDescent="0.3">
      <c r="A14" s="33"/>
      <c r="B14" s="43"/>
      <c r="C14" s="15" t="s">
        <v>16</v>
      </c>
      <c r="D14" s="22">
        <f>-I2*D11*D8</f>
        <v>9.5999999999999988E-2</v>
      </c>
      <c r="E14" s="26">
        <f>S8+D14</f>
        <v>0.89600000000000002</v>
      </c>
      <c r="F14" s="15" t="s">
        <v>16</v>
      </c>
      <c r="G14" s="22"/>
      <c r="H14" s="26"/>
      <c r="I14" s="15" t="s">
        <v>16</v>
      </c>
      <c r="J14" s="22"/>
      <c r="K14" s="26"/>
    </row>
    <row r="15" spans="1:19" ht="16" customHeight="1" x14ac:dyDescent="0.25">
      <c r="A15" s="33"/>
      <c r="B15" s="41" t="s">
        <v>5</v>
      </c>
      <c r="C15" s="14" t="s">
        <v>17</v>
      </c>
      <c r="D15" s="21">
        <f>D11*Q8*IF(D5&gt;0,1,0)</f>
        <v>-0.76800000000000002</v>
      </c>
      <c r="E15" s="8"/>
      <c r="F15" s="14" t="s">
        <v>17</v>
      </c>
      <c r="G15" s="21"/>
      <c r="H15" s="8"/>
      <c r="I15" s="14" t="s">
        <v>17</v>
      </c>
      <c r="J15" s="21"/>
      <c r="K15" s="8"/>
    </row>
    <row r="16" spans="1:19" x14ac:dyDescent="0.25">
      <c r="A16" s="33"/>
      <c r="B16" s="42"/>
      <c r="C16" s="14" t="s">
        <v>18</v>
      </c>
      <c r="D16" s="21">
        <f>D11*S8*IF(D6&gt;0,1,0)</f>
        <v>-1.536</v>
      </c>
      <c r="E16" s="30" t="s">
        <v>36</v>
      </c>
      <c r="F16" s="14" t="s">
        <v>18</v>
      </c>
      <c r="G16" s="21"/>
      <c r="H16" s="30" t="s">
        <v>36</v>
      </c>
      <c r="I16" s="14" t="s">
        <v>18</v>
      </c>
      <c r="J16" s="21"/>
      <c r="K16" s="30" t="s">
        <v>36</v>
      </c>
    </row>
    <row r="17" spans="1:11" x14ac:dyDescent="0.25">
      <c r="A17" s="33"/>
      <c r="B17" s="42"/>
      <c r="C17" s="14" t="s">
        <v>19</v>
      </c>
      <c r="D17" s="21">
        <f>-I2*D15*1</f>
        <v>7.6800000000000007E-2</v>
      </c>
      <c r="E17" s="27">
        <f>O5+D17</f>
        <v>0.57679999999999998</v>
      </c>
      <c r="F17" s="14" t="s">
        <v>19</v>
      </c>
      <c r="G17" s="21"/>
      <c r="H17" s="27"/>
      <c r="I17" s="14" t="s">
        <v>19</v>
      </c>
      <c r="J17" s="21"/>
      <c r="K17" s="27"/>
    </row>
    <row r="18" spans="1:11" x14ac:dyDescent="0.25">
      <c r="A18" s="33"/>
      <c r="B18" s="42"/>
      <c r="C18" s="14" t="s">
        <v>20</v>
      </c>
      <c r="D18" s="21">
        <f>-I2*D15*C2</f>
        <v>0</v>
      </c>
      <c r="E18" s="25">
        <f>Q5+D18</f>
        <v>-0.3</v>
      </c>
      <c r="F18" s="14" t="s">
        <v>20</v>
      </c>
      <c r="G18" s="21"/>
      <c r="H18" s="25"/>
      <c r="I18" s="14" t="s">
        <v>20</v>
      </c>
      <c r="J18" s="21"/>
      <c r="K18" s="25"/>
    </row>
    <row r="19" spans="1:11" x14ac:dyDescent="0.25">
      <c r="A19" s="33"/>
      <c r="B19" s="42"/>
      <c r="C19" s="16" t="s">
        <v>21</v>
      </c>
      <c r="D19" s="21">
        <f>-I2*D15*C3</f>
        <v>7.6800000000000007E-2</v>
      </c>
      <c r="E19" s="25">
        <f>S5+D19</f>
        <v>0.17680000000000001</v>
      </c>
      <c r="F19" s="16" t="s">
        <v>21</v>
      </c>
      <c r="G19" s="21"/>
      <c r="H19" s="25"/>
      <c r="I19" s="16" t="s">
        <v>21</v>
      </c>
      <c r="J19" s="21"/>
      <c r="K19" s="25"/>
    </row>
    <row r="20" spans="1:11" x14ac:dyDescent="0.25">
      <c r="A20" s="33"/>
      <c r="B20" s="42"/>
      <c r="C20" s="16" t="s">
        <v>22</v>
      </c>
      <c r="D20" s="21">
        <f>-I2*D16*1</f>
        <v>0.15360000000000001</v>
      </c>
      <c r="E20" s="27">
        <f>O6+D20</f>
        <v>-4.6399999999999997E-2</v>
      </c>
      <c r="F20" s="16" t="s">
        <v>22</v>
      </c>
      <c r="G20" s="21"/>
      <c r="H20" s="27"/>
      <c r="I20" s="16" t="s">
        <v>22</v>
      </c>
      <c r="J20" s="21"/>
      <c r="K20" s="27"/>
    </row>
    <row r="21" spans="1:11" x14ac:dyDescent="0.25">
      <c r="A21" s="33"/>
      <c r="B21" s="42"/>
      <c r="C21" s="16" t="s">
        <v>23</v>
      </c>
      <c r="D21" s="21">
        <f>-I2*D16*C2</f>
        <v>0</v>
      </c>
      <c r="E21" s="25">
        <f>Q6+D21</f>
        <v>-0.4</v>
      </c>
      <c r="F21" s="16" t="s">
        <v>23</v>
      </c>
      <c r="G21" s="21"/>
      <c r="H21" s="25"/>
      <c r="I21" s="16" t="s">
        <v>23</v>
      </c>
      <c r="J21" s="21"/>
      <c r="K21" s="25"/>
    </row>
    <row r="22" spans="1:11" x14ac:dyDescent="0.25">
      <c r="A22" s="33"/>
      <c r="B22" s="42"/>
      <c r="C22" s="16" t="s">
        <v>24</v>
      </c>
      <c r="D22" s="21">
        <f>-I2*D16*C3</f>
        <v>0.15360000000000001</v>
      </c>
      <c r="E22" s="25">
        <f>S6+D22</f>
        <v>0.85359999999999991</v>
      </c>
      <c r="F22" s="16" t="s">
        <v>24</v>
      </c>
      <c r="G22" s="21"/>
      <c r="H22" s="25"/>
      <c r="I22" s="16" t="s">
        <v>24</v>
      </c>
      <c r="J22" s="21"/>
      <c r="K22" s="25"/>
    </row>
  </sheetData>
  <mergeCells count="9">
    <mergeCell ref="A5:A10"/>
    <mergeCell ref="A11:A22"/>
    <mergeCell ref="M2:O2"/>
    <mergeCell ref="Q2:S2"/>
    <mergeCell ref="M5:M6"/>
    <mergeCell ref="B5:B8"/>
    <mergeCell ref="B9:B10"/>
    <mergeCell ref="B11:B14"/>
    <mergeCell ref="B15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Lösung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Wotzlaw</dc:creator>
  <cp:lastModifiedBy>Richard Wotzlaw (EXT)</cp:lastModifiedBy>
  <dcterms:created xsi:type="dcterms:W3CDTF">2025-12-06T12:41:02Z</dcterms:created>
  <dcterms:modified xsi:type="dcterms:W3CDTF">2026-01-24T19:46:03Z</dcterms:modified>
</cp:coreProperties>
</file>